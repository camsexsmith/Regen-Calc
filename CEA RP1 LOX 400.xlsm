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erauedu.sharepoint.com/sites/MOE/Shared Documents/Detailed Design/Engine Analysis/Regen Analysis/"/>
    </mc:Choice>
  </mc:AlternateContent>
  <xr:revisionPtr revIDLastSave="0" documentId="8_{11156979-BA11-427F-8C4F-694432FF4B10}" xr6:coauthVersionLast="47" xr6:coauthVersionMax="47" xr10:uidLastSave="{00000000-0000-0000-0000-000000000000}"/>
  <bookViews>
    <workbookView xWindow="-98" yWindow="-98" windowWidth="20715" windowHeight="13155" xr2:uid="{520C4F2E-09EA-4802-9D71-7919779A8671}"/>
  </bookViews>
  <sheets>
    <sheet name="Sheet 1" sheetId="5" r:id="rId1"/>
  </sheets>
  <definedNames>
    <definedName name="_xlnm._FilterDatabase" localSheetId="0" hidden="1">'Sheet 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<sst xmlns="http://schemas.openxmlformats.org/spreadsheetml/2006/main" count="25" uniqueCount="11">
  <si>
    <t>OF</t>
  </si>
  <si>
    <t>Chamber</t>
  </si>
  <si>
    <t>Throat</t>
  </si>
  <si>
    <t>Temp</t>
  </si>
  <si>
    <t>Gam</t>
  </si>
  <si>
    <t>MW</t>
  </si>
  <si>
    <t>Pr</t>
  </si>
  <si>
    <t>Cp [KJ/KG K]</t>
  </si>
  <si>
    <t>K [mW/cm-K]</t>
  </si>
  <si>
    <t>Eq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</si>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</sst>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1" fontId="0" fillId="0" borderId="0" xfId="0" applyNumberFormat="1"/>
    <xf numFmtId="11" fontId="1" fillId="0" borderId="0" xfId="0" applyNumberFormat="1" applyFont="1" applyAlignment="1">
      <alignment vertical="center"/>
    </xf>
    <xf numFmtId="168" fontId="0" fillId="0" borderId="0" xfId="0" applyNumberFormat="1"/>
    <xf numFmtId="0" fontId="1" fillId="0" borderId="0" xfId="0" applyFont="1" applyAlignment="1">
      <alignment horizontal="left" vertical="center"/>
    </xf>
    <xf numFmtId="0" fontId="0" fillId="2" borderId="0" xfId="0" applyFill="1"/>
    <xf numFmtId="0" fontId="0" fillId="3" borderId="0" xfId="0" applyFill="1"/>
    <xf numFmtId="168" fontId="0" fillId="4" borderId="0" xfId="0" applyNumberFormat="1" applyFill="1"/>
    <xf numFmtId="11" fontId="1" fillId="4" borderId="0" xfId="0" applyNumberFormat="1" applyFont="1" applyFill="1" applyAlignment="1">
      <alignment vertical="center"/>
    </xf>
    <xf numFmtId="11" fontId="0" fillId="4" borderId="0" xfId="0" applyNumberForma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Chamber Gas Conductivity Eq vs Fr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Eq Cond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'Sheet 1'!$A$3:$A$11</c:f>
              <c:numCache>
                <c:formatCode>0.0</c:formatCode>
                <c:ptCount val="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'Sheet 1'!$F$3:$F$11</c:f>
              <c:numCache>
                <c:formatCode>General</c:formatCode>
                <c:ptCount val="9"/>
                <c:pt idx="0">
                  <c:v>3.4624000000000001</c:v>
                </c:pt>
                <c:pt idx="1">
                  <c:v>4.0370999999999997</c:v>
                </c:pt>
                <c:pt idx="2">
                  <c:v>9.9283000000000001</c:v>
                </c:pt>
                <c:pt idx="3">
                  <c:v>15.809100000000001</c:v>
                </c:pt>
                <c:pt idx="4">
                  <c:v>17.934799999999999</c:v>
                </c:pt>
                <c:pt idx="5">
                  <c:v>17.442</c:v>
                </c:pt>
                <c:pt idx="6">
                  <c:v>16.0351</c:v>
                </c:pt>
                <c:pt idx="7">
                  <c:v>14.412100000000001</c:v>
                </c:pt>
                <c:pt idx="8">
                  <c:v>12.8179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96-420E-8B02-E7165EB56E12}"/>
            </c:ext>
          </c:extLst>
        </c:ser>
        <c:ser>
          <c:idx val="1"/>
          <c:order val="1"/>
          <c:tx>
            <c:v>Fr Cond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'Sheet 1'!$A$3:$A$11</c:f>
              <c:numCache>
                <c:formatCode>0.0</c:formatCode>
                <c:ptCount val="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'Sheet 1'!$I$3:$I$11</c:f>
              <c:numCache>
                <c:formatCode>General</c:formatCode>
                <c:ptCount val="9"/>
                <c:pt idx="0">
                  <c:v>2.5137999999999998</c:v>
                </c:pt>
                <c:pt idx="1">
                  <c:v>3.2744</c:v>
                </c:pt>
                <c:pt idx="2">
                  <c:v>3.5634999999999999</c:v>
                </c:pt>
                <c:pt idx="3">
                  <c:v>3.4802</c:v>
                </c:pt>
                <c:pt idx="4">
                  <c:v>3.3155000000000001</c:v>
                </c:pt>
                <c:pt idx="5">
                  <c:v>3.1537000000000002</c:v>
                </c:pt>
                <c:pt idx="6">
                  <c:v>3.0074999999999998</c:v>
                </c:pt>
                <c:pt idx="7">
                  <c:v>2.8765999999999998</c:v>
                </c:pt>
                <c:pt idx="8">
                  <c:v>2.7589999999999999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96-420E-8B02-E7165EB5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32240"/>
        <c:axId val="1162612848"/>
      </c:scatterChart>
      <c:valAx>
        <c:axId val="8643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612848"/>
        <c:crosses val="autoZero"/>
        <c:crossBetween val="midCat"/>
      </c:valAx>
      <c:valAx>
        <c:axId val="11626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Conductivity [mW/cm-K]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3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Chamber Pr Eq vs Fr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Eq Pr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'Sheet 1'!$A$3:$A$11</c:f>
              <c:numCache>
                <c:formatCode>0.0</c:formatCode>
                <c:ptCount val="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'Sheet 1'!$G$3:$G$11</c:f>
              <c:numCache>
                <c:formatCode>General</c:formatCode>
                <c:ptCount val="9"/>
                <c:pt idx="0">
                  <c:v>0.56020000000000003</c:v>
                </c:pt>
                <c:pt idx="1">
                  <c:v>0.46260000000000001</c:v>
                </c:pt>
                <c:pt idx="2">
                  <c:v>0.40039999999999998</c:v>
                </c:pt>
                <c:pt idx="3">
                  <c:v>0.47470000000000001</c:v>
                </c:pt>
                <c:pt idx="4">
                  <c:v>0.50219999999999998</c:v>
                </c:pt>
                <c:pt idx="5">
                  <c:v>0.51239999999999997</c:v>
                </c:pt>
                <c:pt idx="6">
                  <c:v>0.51959999999999995</c:v>
                </c:pt>
                <c:pt idx="7">
                  <c:v>0.52569999999999995</c:v>
                </c:pt>
                <c:pt idx="8">
                  <c:v>0.53129999999999999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8-435C-A780-F2C93AB78810}"/>
            </c:ext>
          </c:extLst>
        </c:ser>
        <c:ser>
          <c:idx val="1"/>
          <c:order val="1"/>
          <c:tx>
            <c:v>Fr Pr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'Sheet 1'!$A$3:$A$11</c:f>
              <c:numCache>
                <c:formatCode>0.0</c:formatCode>
                <c:ptCount val="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'Sheet 1'!$J$3:$J$11</c:f>
              <c:numCache>
                <c:formatCode>General</c:formatCode>
                <c:ptCount val="9"/>
                <c:pt idx="0">
                  <c:v>0.48570000000000002</c:v>
                </c:pt>
                <c:pt idx="1">
                  <c:v>0.52500000000000002</c:v>
                </c:pt>
                <c:pt idx="2">
                  <c:v>0.59519999999999995</c:v>
                </c:pt>
                <c:pt idx="3">
                  <c:v>0.63839999999999997</c:v>
                </c:pt>
                <c:pt idx="4">
                  <c:v>0.66069999999999995</c:v>
                </c:pt>
                <c:pt idx="5">
                  <c:v>0.67379999999999995</c:v>
                </c:pt>
                <c:pt idx="6">
                  <c:v>0.68269999999999997</c:v>
                </c:pt>
                <c:pt idx="7">
                  <c:v>0.6895</c:v>
                </c:pt>
                <c:pt idx="8">
                  <c:v>0.69499999999999995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D8-435C-A780-F2C93AB78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32240"/>
        <c:axId val="1162612848"/>
      </c:scatterChart>
      <c:valAx>
        <c:axId val="8643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612848"/>
        <c:crosses val="autoZero"/>
        <c:crossBetween val="midCat"/>
      </c:valAx>
      <c:valAx>
        <c:axId val="11626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3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Chamber Cp Eq vs Fr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Eq Cp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'Sheet 1'!$A$3:$A$11</c:f>
              <c:numCache>
                <c:formatCode>0.0</c:formatCode>
                <c:ptCount val="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'Sheet 1'!$E$3:$E$11</c:f>
              <c:numCache>
                <c:formatCode>General</c:formatCode>
                <c:ptCount val="9"/>
                <c:pt idx="0">
                  <c:v>3.7557999999999998</c:v>
                </c:pt>
                <c:pt idx="1">
                  <c:v>2.4230999999999998</c:v>
                </c:pt>
                <c:pt idx="2">
                  <c:v>4.0172999999999996</c:v>
                </c:pt>
                <c:pt idx="3">
                  <c:v>6.9053000000000004</c:v>
                </c:pt>
                <c:pt idx="4">
                  <c:v>8.0528999999999993</c:v>
                </c:pt>
                <c:pt idx="5">
                  <c:v>7.9405000000000001</c:v>
                </c:pt>
                <c:pt idx="6">
                  <c:v>7.4230999999999998</c:v>
                </c:pt>
                <c:pt idx="7">
                  <c:v>6.8</c:v>
                </c:pt>
                <c:pt idx="8">
                  <c:v>6.1731999999999996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30-4053-8CD1-7F95983D7535}"/>
            </c:ext>
          </c:extLst>
        </c:ser>
        <c:ser>
          <c:idx val="1"/>
          <c:order val="1"/>
          <c:tx>
            <c:v>Fr Cp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'Sheet 1'!$A$3:$A$11</c:f>
              <c:numCache>
                <c:formatCode>0.0</c:formatCode>
                <c:ptCount val="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'Sheet 1'!$H$3:$H$11</c:f>
              <c:numCache>
                <c:formatCode>General</c:formatCode>
                <c:ptCount val="9"/>
                <c:pt idx="0">
                  <c:v>2.3645999999999998</c:v>
                </c:pt>
                <c:pt idx="1">
                  <c:v>2.2305000000000001</c:v>
                </c:pt>
                <c:pt idx="2">
                  <c:v>2.1435</c:v>
                </c:pt>
                <c:pt idx="3">
                  <c:v>2.0446</c:v>
                </c:pt>
                <c:pt idx="4">
                  <c:v>1.9584999999999999</c:v>
                </c:pt>
                <c:pt idx="5">
                  <c:v>1.8878999999999999</c:v>
                </c:pt>
                <c:pt idx="6">
                  <c:v>1.8293999999999999</c:v>
                </c:pt>
                <c:pt idx="7">
                  <c:v>1.7802</c:v>
                </c:pt>
                <c:pt idx="8">
                  <c:v>1.7381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30-4053-8CD1-7F95983D7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32240"/>
        <c:axId val="1162612848"/>
      </c:scatterChart>
      <c:valAx>
        <c:axId val="8643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612848"/>
        <c:crosses val="autoZero"/>
        <c:crossBetween val="midCat"/>
      </c:valAx>
      <c:valAx>
        <c:axId val="11626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Cp [KJ/KG-K]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3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273842</xdr:colOff>
      <xdr:row>14</xdr:row>
      <xdr:rowOff>9524</xdr:rowOff>
    </xdr:from>
    <xdr:to>
      <xdr:col>8</xdr:col>
      <xdr:colOff>280987</xdr:colOff>
      <xdr:row>32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7B05F9-FE32-31F2-DF83-F4665DE283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14</xdr:row>
      <xdr:rowOff>14288</xdr:rowOff>
    </xdr:from>
    <xdr:to>
      <xdr:col>16</xdr:col>
      <xdr:colOff>283369</xdr:colOff>
      <xdr:row>32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5B850C-91A7-4604-9130-D025753081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338137</xdr:colOff>
      <xdr:row>31</xdr:row>
      <xdr:rowOff>161924</xdr:rowOff>
    </xdr:from>
    <xdr:to>
      <xdr:col>12</xdr:col>
      <xdr:colOff>345282</xdr:colOff>
      <xdr:row>50</xdr:row>
      <xdr:rowOff>47624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63DDE9-F1BB-4691-A92A-04418C65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EF61E-69F5-400C-A28F-FD6E971511DA}">
  <sheetPr codeName="Sheet1"/>
  <dimension ref="A1:S48"/>
  <sheetViews>
    <sheetView tabSelected="1" zoomScaleNormal="100" workbookViewId="0">
      <selection activeCell="J14" sqref="J14"/>
    </sheetView>
  </sheetViews>
  <sheetFormatPr defaultRowHeight="14.25"/>
  <sheetData>
    <row r="1" spans="1:19">
      <c r="B1" t="s">
        <v>1</v>
      </c>
      <c r="E1" t="s">
        <v>9</v>
      </c>
      <c r="H1" t="s">
        <v>10</v>
      </c>
      <c r="K1" t="s">
        <v>2</v>
      </c>
      <c r="N1" t="s">
        <v>9</v>
      </c>
      <c r="Q1" t="s">
        <v>10</v>
      </c>
    </row>
    <row r="2" spans="1:19">
      <c r="A2" t="s">
        <v>0</v>
      </c>
      <c r="B2" t="s">
        <v>3</v>
      </c>
      <c r="C2" t="s">
        <v>4</v>
      </c>
      <c r="D2" t="s">
        <v>5</v>
      </c>
      <c r="E2" t="s">
        <v>7</v>
      </c>
      <c r="F2" t="s">
        <v>8</v>
      </c>
      <c r="G2" t="s">
        <v>6</v>
      </c>
      <c r="H2" t="s">
        <v>7</v>
      </c>
      <c r="I2" t="s">
        <v>8</v>
      </c>
      <c r="J2" t="s">
        <v>6</v>
      </c>
      <c r="K2" t="s">
        <v>3</v>
      </c>
      <c r="L2" t="s">
        <v>4</v>
      </c>
      <c r="M2" t="s">
        <v>5</v>
      </c>
      <c r="N2" t="s">
        <v>7</v>
      </c>
      <c r="O2" t="s">
        <v>8</v>
      </c>
      <c r="P2" t="s">
        <v>6</v>
      </c>
      <c r="Q2" t="s">
        <v>7</v>
      </c>
      <c r="R2" t="s">
        <v>8</v>
      </c>
      <c r="S2" t="s">
        <v>6</v>
      </c>
    </row>
    <row r="3" spans="1:19">
      <c r="A3" s="3">
        <v>1</v>
      </c>
      <c r="B3" s="2">
        <v>1506.3</v>
      </c>
      <c r="C3" s="1">
        <v>1.2505999999999999</v>
      </c>
      <c r="D3" s="1">
        <v>14.613</v>
      </c>
      <c r="E3" s="5">
        <v>3.7557999999999998</v>
      </c>
      <c r="F3" s="5">
        <v>3.4624000000000001</v>
      </c>
      <c r="G3" s="5">
        <v>0.56020000000000003</v>
      </c>
      <c r="H3" s="6">
        <v>2.3645999999999998</v>
      </c>
      <c r="I3" s="6">
        <v>2.5137999999999998</v>
      </c>
      <c r="J3" s="6">
        <v>0.48570000000000002</v>
      </c>
      <c r="K3" s="2">
        <v>1366.7</v>
      </c>
      <c r="L3" s="1">
        <v>1.2203999999999999</v>
      </c>
      <c r="M3" s="1">
        <v>14.677</v>
      </c>
      <c r="N3" s="5">
        <v>4.6757999999999997</v>
      </c>
      <c r="O3" s="5">
        <v>3.7932000000000001</v>
      </c>
      <c r="P3" s="5">
        <v>0.59760000000000002</v>
      </c>
      <c r="Q3" s="6">
        <v>2.3313999999999999</v>
      </c>
      <c r="R3" s="6">
        <v>2.3068</v>
      </c>
      <c r="S3" s="6">
        <v>0.49</v>
      </c>
    </row>
    <row r="4" spans="1:19">
      <c r="A4" s="7">
        <v>1.5</v>
      </c>
      <c r="B4" s="8">
        <v>2492.6999999999998</v>
      </c>
      <c r="C4" s="9">
        <v>1.2502</v>
      </c>
      <c r="D4" s="9">
        <v>17.664999999999999</v>
      </c>
      <c r="E4" s="10">
        <v>2.4230999999999998</v>
      </c>
      <c r="F4" s="10">
        <v>4.0370999999999997</v>
      </c>
      <c r="G4" s="10">
        <v>0.46260000000000001</v>
      </c>
      <c r="H4" s="10">
        <v>2.2305000000000001</v>
      </c>
      <c r="I4" s="10">
        <v>3.2744</v>
      </c>
      <c r="J4" s="10">
        <v>0.52500000000000002</v>
      </c>
      <c r="K4" s="8">
        <v>2210.3000000000002</v>
      </c>
      <c r="L4" s="9">
        <v>1.2625999999999999</v>
      </c>
      <c r="M4" s="9">
        <v>17.683</v>
      </c>
      <c r="N4" s="10">
        <v>2.2858999999999998</v>
      </c>
      <c r="O4" s="10">
        <v>3.2429999999999999</v>
      </c>
      <c r="P4" s="10">
        <v>0.499</v>
      </c>
      <c r="Q4" s="10">
        <v>2.1938</v>
      </c>
      <c r="R4" s="10">
        <v>2.9424000000000001</v>
      </c>
      <c r="S4" s="10">
        <v>0.52780000000000005</v>
      </c>
    </row>
    <row r="5" spans="1:19">
      <c r="A5" s="3">
        <v>2</v>
      </c>
      <c r="B5" s="2">
        <v>3268</v>
      </c>
      <c r="C5" s="1">
        <v>1.1657</v>
      </c>
      <c r="D5" s="1">
        <v>20.702999999999999</v>
      </c>
      <c r="E5" s="5">
        <v>4.0172999999999996</v>
      </c>
      <c r="F5" s="5">
        <v>9.9283000000000001</v>
      </c>
      <c r="G5" s="5">
        <v>0.40039999999999998</v>
      </c>
      <c r="H5" s="6">
        <v>2.1435</v>
      </c>
      <c r="I5" s="6">
        <v>3.5634999999999999</v>
      </c>
      <c r="J5" s="6">
        <v>0.59519999999999995</v>
      </c>
      <c r="K5" s="2">
        <v>3039.4</v>
      </c>
      <c r="L5" s="1">
        <v>1.1731</v>
      </c>
      <c r="M5" s="1">
        <v>20.888000000000002</v>
      </c>
      <c r="N5" s="5">
        <v>3.4794</v>
      </c>
      <c r="O5" s="5">
        <v>8.0028000000000006</v>
      </c>
      <c r="P5" s="5">
        <v>0.40839999999999999</v>
      </c>
      <c r="Q5" s="6">
        <v>2.1263999999999998</v>
      </c>
      <c r="R5" s="6">
        <v>3.3273999999999999</v>
      </c>
      <c r="S5" s="6">
        <v>0.60019999999999996</v>
      </c>
    </row>
    <row r="6" spans="1:19">
      <c r="A6" s="3">
        <v>2.5</v>
      </c>
      <c r="B6" s="2">
        <v>3521.7</v>
      </c>
      <c r="C6" s="1">
        <v>1.1343000000000001</v>
      </c>
      <c r="D6" s="1">
        <v>22.856999999999999</v>
      </c>
      <c r="E6" s="5">
        <v>6.9053000000000004</v>
      </c>
      <c r="F6" s="5">
        <v>15.809100000000001</v>
      </c>
      <c r="G6" s="5">
        <v>0.47470000000000001</v>
      </c>
      <c r="H6" s="6">
        <v>2.0446</v>
      </c>
      <c r="I6" s="6">
        <v>3.4802</v>
      </c>
      <c r="J6" s="6">
        <v>0.63839999999999997</v>
      </c>
      <c r="K6" s="2">
        <v>3350</v>
      </c>
      <c r="L6" s="1">
        <v>1.1313</v>
      </c>
      <c r="M6" s="1">
        <v>23.184000000000001</v>
      </c>
      <c r="N6" s="5">
        <v>6.6013999999999999</v>
      </c>
      <c r="O6" s="5">
        <v>14.5177</v>
      </c>
      <c r="P6" s="5">
        <v>0.47770000000000001</v>
      </c>
      <c r="Q6" s="6">
        <v>2.036</v>
      </c>
      <c r="R6" s="6">
        <v>3.3233000000000001</v>
      </c>
      <c r="S6" s="6">
        <v>0.64370000000000005</v>
      </c>
    </row>
    <row r="7" spans="1:19">
      <c r="A7" s="3">
        <v>3</v>
      </c>
      <c r="B7" s="2">
        <v>3559.7</v>
      </c>
      <c r="C7" s="1">
        <v>1.1273</v>
      </c>
      <c r="D7" s="1">
        <v>24.393000000000001</v>
      </c>
      <c r="E7" s="5">
        <v>8.0528999999999993</v>
      </c>
      <c r="F7" s="5">
        <v>17.934799999999999</v>
      </c>
      <c r="G7" s="5">
        <v>0.50219999999999998</v>
      </c>
      <c r="H7" s="6">
        <v>1.9584999999999999</v>
      </c>
      <c r="I7" s="6">
        <v>3.3155000000000001</v>
      </c>
      <c r="J7" s="6">
        <v>0.66069999999999995</v>
      </c>
      <c r="K7" s="2">
        <v>3402</v>
      </c>
      <c r="L7" s="1">
        <v>1.1228</v>
      </c>
      <c r="M7" s="1">
        <v>24.765999999999998</v>
      </c>
      <c r="N7" s="5">
        <v>8.1259999999999994</v>
      </c>
      <c r="O7" s="5">
        <v>17.3857</v>
      </c>
      <c r="P7" s="5">
        <v>0.50749999999999995</v>
      </c>
      <c r="Q7" s="6">
        <v>1.952</v>
      </c>
      <c r="R7" s="6">
        <v>3.1871999999999998</v>
      </c>
      <c r="S7" s="6">
        <v>0.66500000000000004</v>
      </c>
    </row>
    <row r="8" spans="1:19">
      <c r="A8" s="3">
        <v>3.5</v>
      </c>
      <c r="B8" s="2">
        <v>3537.3</v>
      </c>
      <c r="C8" s="1">
        <v>1.1251</v>
      </c>
      <c r="D8" s="1">
        <v>25.591999999999999</v>
      </c>
      <c r="E8" s="5">
        <v>7.9405000000000001</v>
      </c>
      <c r="F8" s="5">
        <v>17.442</v>
      </c>
      <c r="G8" s="5">
        <v>0.51239999999999997</v>
      </c>
      <c r="H8" s="6">
        <v>1.8878999999999999</v>
      </c>
      <c r="I8" s="6">
        <v>3.1537000000000002</v>
      </c>
      <c r="J8" s="6">
        <v>0.67379999999999995</v>
      </c>
      <c r="K8" s="2">
        <v>3383.8</v>
      </c>
      <c r="L8" s="1">
        <v>1.1206</v>
      </c>
      <c r="M8" s="1">
        <v>25.981999999999999</v>
      </c>
      <c r="N8" s="5">
        <v>8.0579000000000001</v>
      </c>
      <c r="O8" s="5">
        <v>17.0716</v>
      </c>
      <c r="P8" s="5">
        <v>0.5161</v>
      </c>
      <c r="Q8" s="6">
        <v>1.8817999999999999</v>
      </c>
      <c r="R8" s="6">
        <v>3.0379</v>
      </c>
      <c r="S8" s="6">
        <v>0.67730000000000001</v>
      </c>
    </row>
    <row r="9" spans="1:19">
      <c r="A9" s="3">
        <v>4</v>
      </c>
      <c r="B9" s="2">
        <v>3494.8</v>
      </c>
      <c r="C9" s="1">
        <v>1.1243000000000001</v>
      </c>
      <c r="D9" s="1">
        <v>26.571000000000002</v>
      </c>
      <c r="E9" s="5">
        <v>7.4230999999999998</v>
      </c>
      <c r="F9" s="5">
        <v>16.0351</v>
      </c>
      <c r="G9" s="5">
        <v>0.51959999999999995</v>
      </c>
      <c r="H9" s="6">
        <v>1.8293999999999999</v>
      </c>
      <c r="I9" s="6">
        <v>3.0074999999999998</v>
      </c>
      <c r="J9" s="6">
        <v>0.68269999999999997</v>
      </c>
      <c r="K9" s="2">
        <v>3342.9</v>
      </c>
      <c r="L9" s="1">
        <v>1.1201000000000001</v>
      </c>
      <c r="M9" s="1">
        <v>26.966000000000001</v>
      </c>
      <c r="N9" s="5">
        <v>7.4797000000000002</v>
      </c>
      <c r="O9" s="5">
        <v>15.618600000000001</v>
      </c>
      <c r="P9" s="5">
        <v>0.52190000000000003</v>
      </c>
      <c r="Q9" s="6">
        <v>1.8232999999999999</v>
      </c>
      <c r="R9" s="6">
        <v>2.8982999999999999</v>
      </c>
      <c r="S9" s="6">
        <v>0.68559999999999999</v>
      </c>
    </row>
    <row r="10" spans="1:19">
      <c r="A10" s="3">
        <v>4.5</v>
      </c>
      <c r="B10" s="2">
        <v>3443.9</v>
      </c>
      <c r="C10" s="1">
        <v>1.1244000000000001</v>
      </c>
      <c r="D10" s="1">
        <v>27.388000000000002</v>
      </c>
      <c r="E10" s="5">
        <v>6.8</v>
      </c>
      <c r="F10" s="5">
        <v>14.412100000000001</v>
      </c>
      <c r="G10" s="5">
        <v>0.52569999999999995</v>
      </c>
      <c r="H10" s="6">
        <v>1.7802</v>
      </c>
      <c r="I10" s="6">
        <v>2.8765999999999998</v>
      </c>
      <c r="J10" s="6">
        <v>0.6895</v>
      </c>
      <c r="K10" s="2">
        <v>3292.3</v>
      </c>
      <c r="L10" s="1">
        <v>1.1205000000000001</v>
      </c>
      <c r="M10" s="1">
        <v>27.780999999999999</v>
      </c>
      <c r="N10" s="5">
        <v>6.7752999999999997</v>
      </c>
      <c r="O10" s="5">
        <v>13.8893</v>
      </c>
      <c r="P10" s="5">
        <v>0.52739999999999998</v>
      </c>
      <c r="Q10" s="6">
        <v>1.7739</v>
      </c>
      <c r="R10" s="6">
        <v>2.7711999999999999</v>
      </c>
      <c r="S10" s="6">
        <v>0.69210000000000005</v>
      </c>
    </row>
    <row r="11" spans="1:19">
      <c r="A11" s="3">
        <v>5</v>
      </c>
      <c r="B11" s="2">
        <v>3389</v>
      </c>
      <c r="C11" s="1">
        <v>1.125</v>
      </c>
      <c r="D11" s="1">
        <v>28.076000000000001</v>
      </c>
      <c r="E11" s="5">
        <v>6.1731999999999996</v>
      </c>
      <c r="F11" s="5">
        <v>12.8179</v>
      </c>
      <c r="G11" s="5">
        <v>0.53129999999999999</v>
      </c>
      <c r="H11" s="6">
        <v>1.7381</v>
      </c>
      <c r="I11" s="6">
        <v>2.7589999999999999</v>
      </c>
      <c r="J11" s="6">
        <v>0.69499999999999995</v>
      </c>
      <c r="K11" s="2">
        <v>3236.6</v>
      </c>
      <c r="L11" s="1">
        <v>1.1215999999999999</v>
      </c>
      <c r="M11" s="1">
        <v>28.463999999999999</v>
      </c>
      <c r="N11" s="5">
        <v>6.0709999999999997</v>
      </c>
      <c r="O11" s="5">
        <v>12.1839</v>
      </c>
      <c r="P11" s="5">
        <v>0.53290000000000004</v>
      </c>
      <c r="Q11" s="6">
        <v>1.7315</v>
      </c>
      <c r="R11" s="6">
        <v>2.6555</v>
      </c>
      <c r="S11" s="6">
        <v>0.69730000000000003</v>
      </c>
    </row>
    <row r="14" spans="1:19">
      <c r="A14" s="4"/>
      <c r="L14" s="4"/>
    </row>
    <row r="15" spans="1:19">
      <c r="A15" s="4"/>
      <c r="L15" s="4"/>
    </row>
    <row r="16" spans="1:19">
      <c r="A16" s="4"/>
      <c r="L16" s="4"/>
    </row>
    <row r="18" spans="1:12">
      <c r="A18" s="4"/>
      <c r="L18" s="4"/>
    </row>
    <row r="19" spans="1:12">
      <c r="A19" s="4"/>
      <c r="L19" s="4"/>
    </row>
    <row r="20" spans="1:12">
      <c r="A20" s="4"/>
      <c r="L20" s="4"/>
    </row>
    <row r="22" spans="1:12">
      <c r="A22" s="4"/>
      <c r="L22" s="4"/>
    </row>
    <row r="23" spans="1:12">
      <c r="A23" s="4"/>
      <c r="L23" s="4"/>
    </row>
    <row r="24" spans="1:12">
      <c r="A24" s="4"/>
      <c r="L24" s="4"/>
    </row>
    <row r="26" spans="1:12">
      <c r="A26" s="4"/>
      <c r="L26" s="4"/>
    </row>
    <row r="27" spans="1:12">
      <c r="A27" s="4"/>
      <c r="L27" s="4"/>
    </row>
    <row r="28" spans="1:12">
      <c r="A28" s="4"/>
      <c r="L28" s="4"/>
    </row>
    <row r="30" spans="1:12">
      <c r="A30" s="4"/>
      <c r="L30" s="4"/>
    </row>
    <row r="31" spans="1:12">
      <c r="A31" s="4"/>
      <c r="L31" s="4"/>
    </row>
    <row r="32" spans="1:12">
      <c r="A32" s="4"/>
      <c r="L32" s="4"/>
    </row>
    <row r="34" spans="1:12">
      <c r="A34" s="4"/>
      <c r="L34" s="4"/>
    </row>
    <row r="35" spans="1:12">
      <c r="A35" s="4"/>
      <c r="L35" s="4"/>
    </row>
    <row r="36" spans="1:12">
      <c r="A36" s="4"/>
      <c r="L36" s="4"/>
    </row>
    <row r="38" spans="1:12">
      <c r="A38" s="4"/>
      <c r="L38" s="4"/>
    </row>
    <row r="39" spans="1:12">
      <c r="A39" s="4"/>
      <c r="L39" s="4"/>
    </row>
    <row r="40" spans="1:12">
      <c r="A40" s="4"/>
      <c r="L40" s="4"/>
    </row>
    <row r="42" spans="1:12">
      <c r="A42" s="4"/>
      <c r="L42" s="4"/>
    </row>
    <row r="43" spans="1:12">
      <c r="A43" s="4"/>
      <c r="L43" s="4"/>
    </row>
    <row r="44" spans="1:12">
      <c r="A44" s="4"/>
      <c r="L44" s="4"/>
    </row>
    <row r="46" spans="1:12">
      <c r="A46" s="4"/>
      <c r="L46" s="4"/>
    </row>
    <row r="47" spans="1:12">
      <c r="A47" s="4"/>
      <c r="L47" s="4"/>
    </row>
    <row r="48" spans="1:12">
      <c r="A48" s="4"/>
      <c r="L48" s="4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69AE0F69AEF245819DE2C8C845D69D" ma:contentTypeVersion="9" ma:contentTypeDescription="Create a new document." ma:contentTypeScope="" ma:versionID="6bfe2d56f9e43fb59eb01eeeefd2cdf8">
  <xsd:schema xmlns:xsd="http://www.w3.org/2001/XMLSchema" xmlns:xs="http://www.w3.org/2001/XMLSchema" xmlns:p="http://schemas.microsoft.com/office/2006/metadata/properties" xmlns:ns2="553a870a-14e0-4b70-ac93-fe40d406403c" xmlns:ns3="96478458-b045-40b6-a873-0f64051d73a1" targetNamespace="http://schemas.microsoft.com/office/2006/metadata/properties" ma:root="true" ma:fieldsID="6c6e93b81d2721c089d93694117ebcf9" ns2:_="" ns3:_="">
    <xsd:import namespace="553a870a-14e0-4b70-ac93-fe40d406403c"/>
    <xsd:import namespace="96478458-b045-40b6-a873-0f64051d73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3a870a-14e0-4b70-ac93-fe40d40640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a4ee6b6e-1dad-49a7-85d1-bf6bd711290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478458-b045-40b6-a873-0f64051d73a1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93ff51b-23da-44c9-9fff-ee9ecbe034dd}" ma:internalName="TaxCatchAll" ma:showField="CatchAllData" ma:web="96478458-b045-40b6-a873-0f64051d73a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53a870a-14e0-4b70-ac93-fe40d406403c">
      <Terms xmlns="http://schemas.microsoft.com/office/infopath/2007/PartnerControls"/>
    </lcf76f155ced4ddcb4097134ff3c332f>
    <TaxCatchAll xmlns="96478458-b045-40b6-a873-0f64051d73a1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3ECA0D1D-6702-4187-A83E-F7C93F9017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3a870a-14e0-4b70-ac93-fe40d406403c"/>
    <ds:schemaRef ds:uri="96478458-b045-40b6-a873-0f64051d73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462908-4100-448C-9483-A1E45C98D8C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855002-84C6-4833-9B4E-9F1F1E088E21}">
  <ds:schemaRefs>
    <ds:schemaRef ds:uri="http://schemas.microsoft.com/office/2006/metadata/properties"/>
    <ds:schemaRef ds:uri="http://schemas.microsoft.com/office/infopath/2007/PartnerControls"/>
    <ds:schemaRef ds:uri="a17fae56-92b7-41df-99b8-8161b03ad8ce"/>
    <ds:schemaRef ds:uri="2fb398fd-2332-4408-8fd6-4d1ec9b14f6f"/>
    <ds:schemaRef ds:uri="553a870a-14e0-4b70-ac93-fe40d406403c"/>
    <ds:schemaRef ds:uri="96478458-b045-40b6-a873-0f64051d73a1"/>
  </ds:schemaRefs>
</ds:datastoreItem>
</file>

<file path=customXml/itemProps4.xml><?xml version="1.0" encoding="utf-8"?>
<ds:datastoreItem xmlns:ds="http://schemas.openxmlformats.org/officeDocument/2006/customXml" ds:itemID="{3368AA64-4372-4279-821B-AE2669BBCA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sexsm</dc:creator>
  <cp:lastModifiedBy>Sexsmith, Cameron M.</cp:lastModifiedBy>
  <dcterms:created xsi:type="dcterms:W3CDTF">2021-07-02T20:43:12Z</dcterms:created>
  <dcterms:modified xsi:type="dcterms:W3CDTF">2024-01-05T19:00:18Z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0x010100C069AE0F69AEF245819DE2C8C845D69D</vt:lpwstr>
  </property>
  <property fmtid="{D5CDD505-2E9C-101B-9397-08002B2CF9AE}" pid="3" name="MediaServiceImageTags">
    <vt:lpwstr/>
  </property>
</Properties>
</file>